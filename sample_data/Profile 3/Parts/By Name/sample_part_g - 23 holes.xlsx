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10.8.0.38\Production Dept\1.0 PRODUCTION PERSONNEL\KV\Pultrusion Machine Data List\Profile 3\Parts\By Name\"/>
    </mc:Choice>
  </mc:AlternateContent>
  <xr:revisionPtr revIDLastSave="0" documentId="8_{9BB5CFF8-EA72-497C-B780-A2D70C97CAC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le to hole distance" sheetId="2" r:id="rId1"/>
    <sheet name="Sheet1" sheetId="1" r:id="rId2"/>
  </sheets>
  <externalReferences>
    <externalReference r:id="rId3"/>
  </externalReferences>
  <definedNames>
    <definedName name="_xlnm._FilterDatabase" localSheetId="1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14" i="1"/>
  <c r="B24" i="1"/>
  <c r="B25" i="1"/>
  <c r="B26" i="1"/>
  <c r="B27" i="1"/>
  <c r="B28" i="1"/>
  <c r="B29" i="1"/>
  <c r="B30" i="1"/>
  <c r="B31" i="1"/>
  <c r="C5" i="2" l="1"/>
  <c r="C4" i="2"/>
  <c r="C3" i="2"/>
  <c r="B13" i="1" s="1"/>
  <c r="B20" i="1" l="1"/>
  <c r="B21" i="1"/>
  <c r="B12" i="1"/>
  <c r="B22" i="1"/>
  <c r="B11" i="1"/>
  <c r="B15" i="1"/>
  <c r="B19" i="1"/>
  <c r="B2" i="1"/>
  <c r="B10" i="1"/>
  <c r="B17" i="1"/>
  <c r="B18" i="1"/>
  <c r="B16" i="1"/>
  <c r="B5" i="1"/>
  <c r="B4" i="1"/>
  <c r="B3" i="1"/>
  <c r="B7" i="1"/>
  <c r="B9" i="1"/>
  <c r="B6" i="1"/>
  <c r="B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4" i="1" l="1"/>
  <c r="K33" i="1"/>
  <c r="K36" i="1" l="1"/>
</calcChain>
</file>

<file path=xl/sharedStrings.xml><?xml version="1.0" encoding="utf-8"?>
<sst xmlns="http://schemas.openxmlformats.org/spreadsheetml/2006/main" count="21" uniqueCount="14">
  <si>
    <t>No</t>
  </si>
  <si>
    <t>Hole 1</t>
  </si>
  <si>
    <t>Hole 2</t>
  </si>
  <si>
    <t>Hole 3</t>
  </si>
  <si>
    <t>Hole 4</t>
  </si>
  <si>
    <t>Hole length (mm)</t>
  </si>
  <si>
    <t>Actual length (mm)</t>
  </si>
  <si>
    <t>LENGTH FOR LAST HOLE</t>
  </si>
  <si>
    <t>COPY THIS VALUE AND PASTE TO LAST ONE</t>
  </si>
  <si>
    <t>From hole 2 to hole 1</t>
  </si>
  <si>
    <t>From hole 3 to hole 1</t>
  </si>
  <si>
    <t>From hole 4 to hole 1</t>
  </si>
  <si>
    <t>Distance (mm)</t>
  </si>
  <si>
    <t>*Possible to change once in a while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</si>
</sst>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duction%20CNC/Desktop/Pultrusion%20Machine%20Data%20List/Profile%203/Standard%20Parts%20Data%20&amp;%20List/Machine%203%20Master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le to hole distance"/>
      <sheetName val="Sheet1"/>
    </sheetNames>
    <sheetDataSet>
      <sheetData sheetId="0">
        <row r="3">
          <cell r="C3">
            <v>302.2</v>
          </cell>
        </row>
        <row r="4">
          <cell r="C4">
            <v>602.79999999999995</v>
          </cell>
        </row>
        <row r="5">
          <cell r="C5">
            <v>901.2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I1:O31" totalsRowShown="0">
  <autoFilter ref="I1:O31" xr:uid="{00000000-0009-0000-0100-000001000000}"/>
  <sortState xmlns:xlrd2="http://schemas.microsoft.com/office/spreadsheetml/2017/richdata2" ref="I2:P31">
    <sortCondition ref="I1:I31"/>
  </sortState>
  <tableColumns count="7">
    <tableColumn id="1" xr3:uid="{00000000-0010-0000-0000-000001000000}" name="No"/>
    <tableColumn id="2" xr3:uid="{00000000-0010-0000-0000-000002000000}" name="Actual length (mm)"/>
    <tableColumn id="3" xr3:uid="{00000000-0010-0000-0000-000003000000}" name="Hole length (mm)" dataDxfId="0">
      <calculatedColumnFormula>IF(L2=1,J2,IF(M2=1,J2-Sheet1!C3,IF(N2=1,J2-'Hole to hole distance'!C4,IF(O2=1,J2-'Hole to hole distance'!C5,0))))</calculatedColumnFormula>
    </tableColumn>
    <tableColumn id="4" xr3:uid="{00000000-0010-0000-0000-000004000000}" name="Hole 1"/>
    <tableColumn id="5" xr3:uid="{00000000-0010-0000-0000-000005000000}" name="Hole 2"/>
    <tableColumn id="6" xr3:uid="{00000000-0010-0000-0000-000006000000}" name="Hole 3"/>
    <tableColumn id="7" xr3:uid="{00000000-0010-0000-0000-000007000000}" name="Hole 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workbookViewId="0">
      <selection activeCell="C6" sqref="C6"/>
    </sheetView>
  </sheetViews>
  <sheetFormatPr defaultRowHeight="14.4" x14ac:dyDescent="0.3"/>
  <cols>
    <col min="2" max="2" width="19.88671875" bestFit="1" customWidth="1"/>
    <col min="3" max="3" width="14" bestFit="1" customWidth="1"/>
  </cols>
  <sheetData>
    <row r="2" spans="2:3" x14ac:dyDescent="0.3">
      <c r="C2" t="s">
        <v>12</v>
      </c>
    </row>
    <row r="3" spans="2:3" x14ac:dyDescent="0.3">
      <c r="B3" s="2" t="s">
        <v>9</v>
      </c>
      <c r="C3" s="3">
        <f>'[1]Hole to hole distance'!$C$3</f>
        <v>302.2</v>
      </c>
    </row>
    <row r="4" spans="2:3" x14ac:dyDescent="0.3">
      <c r="B4" s="2" t="s">
        <v>10</v>
      </c>
      <c r="C4" s="3">
        <f>'[1]Hole to hole distance'!$C$4</f>
        <v>602.79999999999995</v>
      </c>
    </row>
    <row r="5" spans="2:3" x14ac:dyDescent="0.3">
      <c r="B5" s="2" t="s">
        <v>11</v>
      </c>
      <c r="C5" s="3">
        <f>'[1]Hole to hole distance'!$C$5</f>
        <v>901.2</v>
      </c>
    </row>
    <row r="7" spans="2:3" x14ac:dyDescent="0.3"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tabSelected="1" workbookViewId="0">
      <selection activeCell="G25" sqref="G25"/>
    </sheetView>
  </sheetViews>
  <sheetFormatPr defaultRowHeight="14.4" x14ac:dyDescent="0.3"/>
  <cols>
    <col min="2" max="2" width="18.33203125" bestFit="1" customWidth="1"/>
    <col min="3" max="3" width="16.6640625" bestFit="1" customWidth="1"/>
  </cols>
  <sheetData>
    <row r="1" spans="1:15" x14ac:dyDescent="0.3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  <c r="I1" t="s">
        <v>0</v>
      </c>
      <c r="J1" t="s">
        <v>6</v>
      </c>
      <c r="K1" t="s">
        <v>5</v>
      </c>
      <c r="L1" t="s">
        <v>1</v>
      </c>
      <c r="M1" t="s">
        <v>2</v>
      </c>
      <c r="N1" t="s">
        <v>3</v>
      </c>
      <c r="O1" t="s">
        <v>4</v>
      </c>
    </row>
    <row r="2" spans="1:15" x14ac:dyDescent="0.3">
      <c r="A2">
        <v>3</v>
      </c>
      <c r="B2">
        <f>IF(D2=1,C2+4,IF(E2=1,C2+'Hole to hole distance'!$C$3,IF(F2=1,C2+'Hole to hole distance'!$C$4,IF(G2=1,C2+'Hole to hole distance'!$C$5,"ERROR"))))</f>
        <v>376.5</v>
      </c>
      <c r="C2">
        <v>74.3</v>
      </c>
      <c r="E2">
        <v>1</v>
      </c>
      <c r="I2">
        <v>1</v>
      </c>
      <c r="K2">
        <f>IF(L2=1,J2,IF(M2=1,J2-Sheet1!C3,IF(N2=1,J2-'Hole to hole distance'!C4,IF(O2=1,J2-'Hole to hole distance'!C5,0))))</f>
        <v>0</v>
      </c>
    </row>
    <row r="3" spans="1:15" x14ac:dyDescent="0.3">
      <c r="A3">
        <v>4</v>
      </c>
      <c r="B3">
        <f>IF(D3=1,C3+4,IF(E3=1,C3+'Hole to hole distance'!$C$3,IF(F3=1,C3+'Hole to hole distance'!$C$4,IF(G3=1,C3+'Hole to hole distance'!$C$5,"ERROR"))))</f>
        <v>436.5</v>
      </c>
      <c r="C3">
        <v>134.30000000000001</v>
      </c>
      <c r="E3">
        <v>1</v>
      </c>
      <c r="I3">
        <v>2</v>
      </c>
      <c r="K3">
        <f>IF(L3=1,J3,IF(M3=1,J3-Sheet1!C4,IF(N3=1,J3-'Hole to hole distance'!C5,IF(O3=1,J3-'Hole to hole distance'!C6,0))))</f>
        <v>0</v>
      </c>
    </row>
    <row r="4" spans="1:15" x14ac:dyDescent="0.3">
      <c r="A4">
        <v>2</v>
      </c>
      <c r="B4">
        <f>IF(D4=1,C4+4,IF(E4=1,C4+'Hole to hole distance'!$C$3,IF(F4=1,C4+'Hole to hole distance'!$C$4,IF(G4=1,C4+'Hole to hole distance'!$C$5,"ERROR"))))</f>
        <v>646.29999999999995</v>
      </c>
      <c r="C4">
        <v>43.5</v>
      </c>
      <c r="F4">
        <v>1</v>
      </c>
      <c r="I4">
        <v>3</v>
      </c>
      <c r="K4">
        <f>IF(L4=1,J4,IF(M4=1,J4-Sheet1!C5,IF(N4=1,J4-'Hole to hole distance'!C6,IF(O4=1,J4-'Hole to hole distance'!C7,0))))</f>
        <v>0</v>
      </c>
    </row>
    <row r="5" spans="1:15" x14ac:dyDescent="0.3">
      <c r="A5">
        <v>1</v>
      </c>
      <c r="B5">
        <f>IF(D5=1,C5+4,IF(E5=1,C5+'Hole to hole distance'!$C$3,IF(F5=1,C5+'Hole to hole distance'!$C$4,IF(G5=1,C5+'Hole to hole distance'!$C$5,"ERROR"))))</f>
        <v>923.7</v>
      </c>
      <c r="C5">
        <v>22.5</v>
      </c>
      <c r="G5">
        <v>1</v>
      </c>
      <c r="I5">
        <v>4</v>
      </c>
      <c r="K5">
        <f>IF(L5=1,J5,IF(M5=1,J5-Sheet1!C6,IF(N5=1,J5-'Hole to hole distance'!C7,IF(O5=1,J5-'Hole to hole distance'!C8,0))))</f>
        <v>0</v>
      </c>
    </row>
    <row r="6" spans="1:15" x14ac:dyDescent="0.3">
      <c r="A6">
        <v>7</v>
      </c>
      <c r="B6">
        <f>IF(D6=1,C6+4,IF(E6=1,C6+'Hole to hole distance'!$C$3,IF(F6=1,C6+'Hole to hole distance'!$C$4,IF(G6=1,C6+'Hole to hole distance'!$C$5,"ERROR"))))</f>
        <v>1671.2</v>
      </c>
      <c r="C6">
        <v>1369</v>
      </c>
      <c r="E6">
        <v>1</v>
      </c>
      <c r="I6">
        <v>5</v>
      </c>
      <c r="K6">
        <f>IF(L6=1,J6,IF(M6=1,J6-Sheet1!C7,IF(N6=1,J6-'Hole to hole distance'!C8,IF(O6=1,J6-'Hole to hole distance'!C9,0))))</f>
        <v>0</v>
      </c>
    </row>
    <row r="7" spans="1:15" x14ac:dyDescent="0.3">
      <c r="A7">
        <v>5</v>
      </c>
      <c r="B7">
        <f>IF(D7=1,C7+4,IF(E7=1,C7+'Hole to hole distance'!$C$3,IF(F7=1,C7+'Hole to hole distance'!$C$4,IF(G7=1,C7+'Hole to hole distance'!$C$5,"ERROR"))))</f>
        <v>1709.8</v>
      </c>
      <c r="C7">
        <v>1107</v>
      </c>
      <c r="F7">
        <v>1</v>
      </c>
      <c r="I7">
        <v>6</v>
      </c>
      <c r="K7">
        <f>IF(L7=1,J7,IF(M7=1,J7-Sheet1!C8,IF(N7=1,J7-'Hole to hole distance'!C9,IF(O7=1,J7-'Hole to hole distance'!C10,0))))</f>
        <v>0</v>
      </c>
    </row>
    <row r="8" spans="1:15" x14ac:dyDescent="0.3">
      <c r="A8">
        <v>9</v>
      </c>
      <c r="B8">
        <f>IF(D8=1,C8+4,IF(E8=1,C8+'Hole to hole distance'!$C$3,IF(F8=1,C8+'Hole to hole distance'!$C$4,IF(G8=1,C8+'Hole to hole distance'!$C$5,"ERROR"))))</f>
        <v>2172.1999999999998</v>
      </c>
      <c r="C8">
        <v>1870</v>
      </c>
      <c r="E8">
        <v>1</v>
      </c>
      <c r="I8">
        <v>7</v>
      </c>
      <c r="K8">
        <f>IF(L8=1,J8,IF(M8=1,J8-Sheet1!C9,IF(N8=1,J8-'Hole to hole distance'!C10,IF(O8=1,J8-'Hole to hole distance'!C11,0))))</f>
        <v>0</v>
      </c>
    </row>
    <row r="9" spans="1:15" x14ac:dyDescent="0.3">
      <c r="A9">
        <v>6</v>
      </c>
      <c r="B9">
        <f>IF(D9=1,C9+4,IF(E9=1,C9+'Hole to hole distance'!$C$3,IF(F9=1,C9+'Hole to hole distance'!$C$4,IF(G9=1,C9+'Hole to hole distance'!$C$5,"ERROR"))))</f>
        <v>2235</v>
      </c>
      <c r="C9">
        <v>1333.8</v>
      </c>
      <c r="G9">
        <v>1</v>
      </c>
      <c r="I9">
        <v>8</v>
      </c>
      <c r="K9">
        <f>IF(L9=1,J9,IF(M9=1,J9-Sheet1!C10,IF(N9=1,J9-'Hole to hole distance'!C11,IF(O9=1,J9-'Hole to hole distance'!C12,0))))</f>
        <v>0</v>
      </c>
    </row>
    <row r="10" spans="1:15" x14ac:dyDescent="0.3">
      <c r="A10">
        <v>8</v>
      </c>
      <c r="B10">
        <f>IF(D10=1,C10+4,IF(E10=1,C10+'Hole to hole distance'!$C$3,IF(F10=1,C10+'Hole to hole distance'!$C$4,IF(G10=1,C10+'Hole to hole distance'!$C$5,"ERROR"))))</f>
        <v>2313.1999999999998</v>
      </c>
      <c r="C10">
        <v>1412</v>
      </c>
      <c r="G10">
        <v>1</v>
      </c>
      <c r="I10">
        <v>9</v>
      </c>
      <c r="K10">
        <f>IF(L10=1,J10,IF(M10=1,J10-Sheet1!C11,IF(N10=1,J10-'Hole to hole distance'!C12,IF(O10=1,J10-'Hole to hole distance'!C13,0))))</f>
        <v>0</v>
      </c>
    </row>
    <row r="11" spans="1:15" x14ac:dyDescent="0.3">
      <c r="A11">
        <v>13</v>
      </c>
      <c r="B11">
        <f>IF(D11=1,C11+4,IF(E11=1,C11+'Hole to hole distance'!$C$3,IF(F11=1,C11+'Hole to hole distance'!$C$4,IF(G11=1,C11+'Hole to hole distance'!$C$5,"ERROR"))))</f>
        <v>2619.1999999999998</v>
      </c>
      <c r="C11">
        <v>2317</v>
      </c>
      <c r="E11">
        <v>1</v>
      </c>
      <c r="I11">
        <v>10</v>
      </c>
      <c r="K11">
        <f>IF(L11=1,J11,IF(M11=1,J11-Sheet1!C12,IF(N11=1,J11-'Hole to hole distance'!C13,IF(O11=1,J11-'Hole to hole distance'!C14,0))))</f>
        <v>0</v>
      </c>
    </row>
    <row r="12" spans="1:15" x14ac:dyDescent="0.3">
      <c r="A12">
        <v>18</v>
      </c>
      <c r="B12">
        <f>IF(D12=1,C12+4,IF(E12=1,C12+'Hole to hole distance'!$C$3,IF(F12=1,C12+'Hole to hole distance'!$C$4,IF(G12=1,C12+'Hole to hole distance'!$C$5,"ERROR"))))</f>
        <v>2779.2</v>
      </c>
      <c r="C12">
        <v>2477</v>
      </c>
      <c r="E12">
        <v>1</v>
      </c>
      <c r="I12">
        <v>11</v>
      </c>
      <c r="K12">
        <f>IF(L12=1,J12,IF(M12=1,J12-Sheet1!C13,IF(N12=1,J12-'Hole to hole distance'!C14,IF(O12=1,J12-'Hole to hole distance'!C15,0))))</f>
        <v>0</v>
      </c>
    </row>
    <row r="13" spans="1:15" x14ac:dyDescent="0.3">
      <c r="A13">
        <v>20</v>
      </c>
      <c r="B13">
        <f>IF(D13=1,C13+4,IF(E13=1,C13+'Hole to hole distance'!$C$3,IF(F13=1,C13+'Hole to hole distance'!$C$4,IF(G13=1,C13+'Hole to hole distance'!$C$5,"ERROR"))))</f>
        <v>2819.2</v>
      </c>
      <c r="C13">
        <v>2517</v>
      </c>
      <c r="E13">
        <v>1</v>
      </c>
      <c r="I13">
        <v>12</v>
      </c>
      <c r="K13">
        <f>IF(L13=1,J13,IF(M13=1,J13-Sheet1!C14,IF(N13=1,J13-'Hole to hole distance'!C15,IF(O13=1,J13-'Hole to hole distance'!C16,0))))</f>
        <v>0</v>
      </c>
    </row>
    <row r="14" spans="1:15" x14ac:dyDescent="0.3">
      <c r="A14">
        <v>22</v>
      </c>
      <c r="B14">
        <f>IF(D14=1,C14+4,IF(E14=1,C14+'Hole to hole distance'!$C$3,IF(F14=1,C14+'Hole to hole distance'!$C$4,IF(G14=1,C14+'Hole to hole distance'!$C$5,"ERROR"))))</f>
        <v>2879.2</v>
      </c>
      <c r="C14">
        <v>2577</v>
      </c>
      <c r="E14">
        <v>1</v>
      </c>
      <c r="I14">
        <v>13</v>
      </c>
      <c r="K14">
        <f>IF(L14=1,J14,IF(M14=1,J14-Sheet1!C15,IF(N14=1,J14-'Hole to hole distance'!C16,IF(O14=1,J14-'Hole to hole distance'!C17,0))))</f>
        <v>0</v>
      </c>
    </row>
    <row r="15" spans="1:15" x14ac:dyDescent="0.3">
      <c r="A15">
        <v>14</v>
      </c>
      <c r="B15">
        <f>IF(D15=1,C15+4,IF(E15=1,C15+'Hole to hole distance'!$C$3,IF(F15=1,C15+'Hole to hole distance'!$C$4,IF(G15=1,C15+'Hole to hole distance'!$C$5,"ERROR"))))</f>
        <v>2939.8</v>
      </c>
      <c r="C15">
        <v>2337</v>
      </c>
      <c r="F15">
        <v>1</v>
      </c>
      <c r="I15">
        <v>14</v>
      </c>
      <c r="K15">
        <f>IF(L15=1,J15,IF(M15=1,J15-Sheet1!C16,IF(N15=1,J15-'Hole to hole distance'!C17,IF(O15=1,J15-'Hole to hole distance'!C18,0))))</f>
        <v>0</v>
      </c>
    </row>
    <row r="16" spans="1:15" x14ac:dyDescent="0.3">
      <c r="A16">
        <v>10</v>
      </c>
      <c r="B16">
        <f>IF(D16=1,C16+4,IF(E16=1,C16+'Hole to hole distance'!$C$3,IF(F16=1,C16+'Hole to hole distance'!$C$4,IF(G16=1,C16+'Hole to hole distance'!$C$5,"ERROR"))))</f>
        <v>2966.7</v>
      </c>
      <c r="C16">
        <v>2065.5</v>
      </c>
      <c r="G16">
        <v>1</v>
      </c>
      <c r="I16">
        <v>15</v>
      </c>
      <c r="K16">
        <f>IF(L16=1,J16,IF(M16=1,J16-Sheet1!C17,IF(N16=1,J16-'Hole to hole distance'!C18,IF(O16=1,J16-'Hole to hole distance'!C19,0))))</f>
        <v>0</v>
      </c>
    </row>
    <row r="17" spans="1:11" x14ac:dyDescent="0.3">
      <c r="A17">
        <v>11</v>
      </c>
      <c r="B17">
        <f>IF(D17=1,C17+4,IF(E17=1,C17+'Hole to hole distance'!$C$3,IF(F17=1,C17+'Hole to hole distance'!$C$4,IF(G17=1,C17+'Hole to hole distance'!$C$5,"ERROR"))))</f>
        <v>3044.8999999999996</v>
      </c>
      <c r="C17">
        <v>2143.6999999999998</v>
      </c>
      <c r="G17">
        <v>1</v>
      </c>
      <c r="I17">
        <v>16</v>
      </c>
      <c r="K17">
        <f>IF(L17=1,J17,IF(M17=1,J17-Sheet1!C18,IF(N17=1,J17-'Hole to hole distance'!C19,IF(O17=1,J17-'Hole to hole distance'!C20,0))))</f>
        <v>0</v>
      </c>
    </row>
    <row r="18" spans="1:11" x14ac:dyDescent="0.3">
      <c r="A18">
        <v>12</v>
      </c>
      <c r="B18">
        <f>IF(D18=1,C18+4,IF(E18=1,C18+'Hole to hole distance'!$C$3,IF(F18=1,C18+'Hole to hole distance'!$C$4,IF(G18=1,C18+'Hole to hole distance'!$C$5,"ERROR"))))</f>
        <v>3195.2</v>
      </c>
      <c r="C18">
        <v>2294</v>
      </c>
      <c r="G18">
        <v>1</v>
      </c>
      <c r="I18">
        <v>17</v>
      </c>
      <c r="K18">
        <f>IF(L18=1,J18,IF(M18=1,J18-Sheet1!C19,IF(N18=1,J18-'Hole to hole distance'!C20,IF(O18=1,J18-'Hole to hole distance'!C21,0))))</f>
        <v>0</v>
      </c>
    </row>
    <row r="19" spans="1:11" x14ac:dyDescent="0.3">
      <c r="A19">
        <v>15</v>
      </c>
      <c r="B19">
        <f>IF(D19=1,C19+4,IF(E19=1,C19+'Hole to hole distance'!$C$3,IF(F19=1,C19+'Hole to hole distance'!$C$4,IF(G19=1,C19+'Hole to hole distance'!$C$5,"ERROR"))))</f>
        <v>3276.8999999999996</v>
      </c>
      <c r="C19">
        <v>2375.6999999999998</v>
      </c>
      <c r="G19">
        <v>1</v>
      </c>
      <c r="I19">
        <v>18</v>
      </c>
      <c r="K19">
        <f>IF(L19=1,J19,IF(M19=1,J19-Sheet1!C20,IF(N19=1,J19-'Hole to hole distance'!C21,IF(O19=1,J19-'Hole to hole distance'!C22,0))))</f>
        <v>0</v>
      </c>
    </row>
    <row r="20" spans="1:11" x14ac:dyDescent="0.3">
      <c r="A20">
        <v>16</v>
      </c>
      <c r="B20">
        <f>IF(D20=1,C20+4,IF(E20=1,C20+'Hole to hole distance'!$C$3,IF(F20=1,C20+'Hole to hole distance'!$C$4,IF(G20=1,C20+'Hole to hole distance'!$C$5,"ERROR"))))</f>
        <v>3315.2</v>
      </c>
      <c r="C20">
        <v>2414</v>
      </c>
      <c r="G20">
        <v>1</v>
      </c>
      <c r="I20">
        <v>19</v>
      </c>
      <c r="K20">
        <f>IF(L20=1,J20,IF(M20=1,J20-Sheet1!C21,IF(N20=1,J20-'Hole to hole distance'!C22,IF(O20=1,J20-'Hole to hole distance'!C23,0))))</f>
        <v>0</v>
      </c>
    </row>
    <row r="21" spans="1:11" x14ac:dyDescent="0.3">
      <c r="A21">
        <v>17</v>
      </c>
      <c r="B21">
        <f>IF(D21=1,C21+4,IF(E21=1,C21+'Hole to hole distance'!$C$3,IF(F21=1,C21+'Hole to hole distance'!$C$4,IF(G21=1,C21+'Hole to hole distance'!$C$5,"ERROR"))))</f>
        <v>3363.2</v>
      </c>
      <c r="C21">
        <v>2462</v>
      </c>
      <c r="G21">
        <v>1</v>
      </c>
      <c r="I21">
        <v>20</v>
      </c>
      <c r="K21">
        <f>IF(L21=1,J21,IF(M21=1,J21-Sheet1!C22,IF(N21=1,J21-'Hole to hole distance'!C23,IF(O21=1,J21-'Hole to hole distance'!C24,0))))</f>
        <v>0</v>
      </c>
    </row>
    <row r="22" spans="1:11" x14ac:dyDescent="0.3">
      <c r="A22">
        <v>19</v>
      </c>
      <c r="B22">
        <f>IF(D22=1,C22+4,IF(E22=1,C22+'Hole to hole distance'!$C$3,IF(F22=1,C22+'Hole to hole distance'!$C$4,IF(G22=1,C22+'Hole to hole distance'!$C$5,"ERROR"))))</f>
        <v>3393.2</v>
      </c>
      <c r="C22">
        <v>2492</v>
      </c>
      <c r="G22">
        <v>1</v>
      </c>
      <c r="I22">
        <v>21</v>
      </c>
      <c r="K22">
        <f>IF(L22=1,J22,IF(M22=1,J22-Sheet1!C23,IF(N22=1,J22-'Hole to hole distance'!C24,IF(O22=1,J22-'Hole to hole distance'!C25,0))))</f>
        <v>0</v>
      </c>
    </row>
    <row r="23" spans="1:11" x14ac:dyDescent="0.3">
      <c r="A23">
        <v>21</v>
      </c>
      <c r="B23">
        <f>IF(D23=1,C23+4,IF(E23=1,C23+'Hole to hole distance'!$C$3,IF(F23=1,C23+'Hole to hole distance'!$C$4,IF(G23=1,C23+'Hole to hole distance'!$C$5,"ERROR"))))</f>
        <v>3449.5</v>
      </c>
      <c r="C23">
        <v>2548.3000000000002</v>
      </c>
      <c r="G23">
        <v>1</v>
      </c>
      <c r="I23">
        <v>22</v>
      </c>
      <c r="K23">
        <f>IF(L23=1,J23,IF(M23=1,J23-Sheet1!C24,IF(N23=1,J23-'Hole to hole distance'!C25,IF(O23=1,J23-'Hole to hole distance'!C26,0))))</f>
        <v>0</v>
      </c>
    </row>
    <row r="24" spans="1:11" x14ac:dyDescent="0.3">
      <c r="A24">
        <v>23</v>
      </c>
      <c r="B24">
        <f>IF(D24=1,C24+4,IF(E24=1,C24+'Hole to hole distance'!$C$3,IF(F24=1,C24+'Hole to hole distance'!$C$4,IF(G24=1,C24+'Hole to hole distance'!$C$5,"ERROR"))))</f>
        <v>2608</v>
      </c>
      <c r="C24">
        <v>2604</v>
      </c>
      <c r="D24">
        <v>1</v>
      </c>
      <c r="I24">
        <v>23</v>
      </c>
      <c r="K24">
        <f>IF(L24=1,J24,IF(M24=1,J24-Sheet1!C25,IF(N24=1,J24-'Hole to hole distance'!C26,IF(O24=1,J24-'Hole to hole distance'!C27,0))))</f>
        <v>0</v>
      </c>
    </row>
    <row r="25" spans="1:11" x14ac:dyDescent="0.3">
      <c r="A25">
        <v>24</v>
      </c>
      <c r="B25" t="str">
        <f>IF(D25=1,C25+4,IF(E25=1,C25+'Hole to hole distance'!$C$3,IF(F25=1,C25+'Hole to hole distance'!$C$4,IF(G25=1,C25+'Hole to hole distance'!$C$5,"ERROR"))))</f>
        <v>ERROR</v>
      </c>
      <c r="I25">
        <v>24</v>
      </c>
      <c r="K25">
        <f>IF(L25=1,J25,IF(M25=1,J25-Sheet1!C26,IF(N25=1,J25-'Hole to hole distance'!C27,IF(O25=1,J25-'Hole to hole distance'!C28,0))))</f>
        <v>0</v>
      </c>
    </row>
    <row r="26" spans="1:11" x14ac:dyDescent="0.3">
      <c r="A26">
        <v>25</v>
      </c>
      <c r="B26" t="str">
        <f>IF(D26=1,C26+4,IF(E26=1,C26+'Hole to hole distance'!$C$3,IF(F26=1,C26+'Hole to hole distance'!$C$4,IF(G26=1,C26+'Hole to hole distance'!$C$5,"ERROR"))))</f>
        <v>ERROR</v>
      </c>
      <c r="I26">
        <v>25</v>
      </c>
      <c r="K26">
        <f>IF(L26=1,J26,IF(M26=1,J26-Sheet1!C27,IF(N26=1,J26-'Hole to hole distance'!C28,IF(O26=1,J26-'Hole to hole distance'!C29,0))))</f>
        <v>0</v>
      </c>
    </row>
    <row r="27" spans="1:11" x14ac:dyDescent="0.3">
      <c r="A27">
        <v>26</v>
      </c>
      <c r="B27" t="str">
        <f>IF(D27=1,C27+4,IF(E27=1,C27+'Hole to hole distance'!$C$3,IF(F27=1,C27+'Hole to hole distance'!$C$4,IF(G27=1,C27+'Hole to hole distance'!$C$5,"ERROR"))))</f>
        <v>ERROR</v>
      </c>
      <c r="I27">
        <v>26</v>
      </c>
      <c r="K27">
        <f>IF(L27=1,J27,IF(M27=1,J27-Sheet1!C28,IF(N27=1,J27-'Hole to hole distance'!C29,IF(O27=1,J27-'Hole to hole distance'!C30,0))))</f>
        <v>0</v>
      </c>
    </row>
    <row r="28" spans="1:11" x14ac:dyDescent="0.3">
      <c r="A28">
        <v>27</v>
      </c>
      <c r="B28" t="str">
        <f>IF(D28=1,C28+4,IF(E28=1,C28+'Hole to hole distance'!$C$3,IF(F28=1,C28+'Hole to hole distance'!$C$4,IF(G28=1,C28+'Hole to hole distance'!$C$5,"ERROR"))))</f>
        <v>ERROR</v>
      </c>
      <c r="I28">
        <v>27</v>
      </c>
      <c r="K28">
        <f>IF(L28=1,J28,IF(M28=1,J28-Sheet1!C29,IF(N28=1,J28-'Hole to hole distance'!C30,IF(O28=1,J28-'Hole to hole distance'!C31,0))))</f>
        <v>0</v>
      </c>
    </row>
    <row r="29" spans="1:11" x14ac:dyDescent="0.3">
      <c r="A29">
        <v>28</v>
      </c>
      <c r="B29" t="str">
        <f>IF(D29=1,C29+4,IF(E29=1,C29+'Hole to hole distance'!$C$3,IF(F29=1,C29+'Hole to hole distance'!$C$4,IF(G29=1,C29+'Hole to hole distance'!$C$5,"ERROR"))))</f>
        <v>ERROR</v>
      </c>
      <c r="I29">
        <v>28</v>
      </c>
      <c r="K29">
        <f>IF(L29=1,J29,IF(M29=1,J29-Sheet1!C30,IF(N29=1,J29-'Hole to hole distance'!C31,IF(O29=1,J29-'Hole to hole distance'!C32,0))))</f>
        <v>0</v>
      </c>
    </row>
    <row r="30" spans="1:11" x14ac:dyDescent="0.3">
      <c r="A30">
        <v>29</v>
      </c>
      <c r="B30" t="str">
        <f>IF(D30=1,C30+4,IF(E30=1,C30+'Hole to hole distance'!$C$3,IF(F30=1,C30+'Hole to hole distance'!$C$4,IF(G30=1,C30+'Hole to hole distance'!$C$5,"ERROR"))))</f>
        <v>ERROR</v>
      </c>
      <c r="I30">
        <v>29</v>
      </c>
      <c r="K30">
        <f>IF(L30=1,J30,IF(M30=1,J30-Sheet1!C31,IF(N30=1,J30-'Hole to hole distance'!C32,IF(O30=1,J30-'Hole to hole distance'!C33,0))))</f>
        <v>0</v>
      </c>
    </row>
    <row r="31" spans="1:11" x14ac:dyDescent="0.3">
      <c r="A31">
        <v>30</v>
      </c>
      <c r="B31" t="str">
        <f>IF(D31=1,C31+4,IF(E31=1,C31+'Hole to hole distance'!$C$3,IF(F31=1,C31+'Hole to hole distance'!$C$4,IF(G31=1,C31+'Hole to hole distance'!$C$5,"ERROR"))))</f>
        <v>ERROR</v>
      </c>
      <c r="I31">
        <v>30</v>
      </c>
      <c r="K31">
        <f>IF(L31=1,J31,IF(M31=1,J31-Sheet1!C32,IF(N31=1,J31-'Hole to hole distance'!C33,IF(O31=1,J31-'Hole to hole distance'!C34,0))))</f>
        <v>0</v>
      </c>
    </row>
    <row r="33" spans="9:15" x14ac:dyDescent="0.3">
      <c r="K33">
        <f>ABS(IF($J$31&lt;&gt;0,$J$31-$J$34,IF($J$30&lt;&gt;0,$J$30-$J$34,IF($J$29&lt;&gt;0,$J$29-$J$34,IF($J$28&lt;&gt;0,$J$28-$J$34,IF($J$27&lt;&gt;0,$J$27-$J$34,IF($J$26&lt;&gt;0,$J$26-$J$34,IF($J$25&lt;&gt;0,$J$25-$J$34,IF($J$24&lt;&gt;0,$J$24-$J$34,IF($J$23&lt;&gt;0,$J$23-$J$34,IF($J$22&lt;&gt;0,$J$22-$J$34,IF($J$21&lt;&gt;0,$J$21-$J$34,IF($J$20&lt;&gt;0,$J$20-$J$34,IF($J$19&lt;&gt;0,$J$19-$J$34,IF($J$18&lt;&gt;0,$J$18-$J$34,IF($J$17&lt;&gt;0,$J$17-$J$34,IF($J$16&lt;&gt;0,$J$16-$J$34,IF($J$15&lt;&gt;0,$J$15-$J$34,IF($J$14&lt;&gt;0,$J$14-$J$34,IF($J$13&lt;&gt;0,$J$13-$J$34,IF($J$12&lt;&gt;0,$J$12-$J$34,IF($J$11&lt;&gt;0,$J$11-$J$34,IF($J$10&lt;&gt;0,$J$10-$J$34,IF($J$9&lt;&gt;0,$J$9-$J$34,IF($J$8&lt;&gt;0,$J$8-$J$34,IF($J$7&lt;&gt;0,$J$7-$J$34,IF($J$6&lt;&gt;0,$J$6-$J$34,IF($J$5&lt;&gt;0,$J$5-$J$34,IF($J$4&lt;&gt;0,$J$4-$J$34,IF($J$3&lt;&gt;0,$J$3-$J$34,IF($J$2&lt;&gt;0,$J$2-$J$34)))))))))))))))))))))))))))))))</f>
        <v>0</v>
      </c>
    </row>
    <row r="34" spans="9:15" x14ac:dyDescent="0.3">
      <c r="I34" s="1" t="s">
        <v>7</v>
      </c>
      <c r="K34">
        <f>ABS(IF(J31&lt;&gt;0,J31-J34,IF(J30&lt;&gt;0,J30-J34,IF(J29&lt;&gt;0,J29-J34,IF(J28&lt;&gt;0,J28-J34,IF(J27&lt;&gt;0,J27-J34,IF(J26&lt;&gt;0,J26-J34,IF(J25&lt;&gt;0,J25-J34,IF(J24&lt;&gt;0,J24-J34,IF(J23&lt;&gt;0,J23-J34,IF(J22&lt;&gt;0,J22-J34,IF(J21&lt;&gt;0,J21-J34,IF(J20&lt;&gt;0,J20-J34,IF(J19&lt;&gt;0,J19-J34,IF(J18&lt;&gt;0,J18-J34,IF(J17&lt;&gt;0,J17-J34,IF(J16&lt;&gt;0,J16-J34,IF(J15&lt;&gt;0,J15-J34,IF(J14&lt;&gt;0,J14-J34,IF(J13&lt;&gt;0,J13-J34,IF(J12&lt;&gt;0,J12-J34,IF(J11&lt;&gt;0,J11-J34,IF(J10&lt;&gt;0,J10-J34,IF(J9&lt;&gt;0,J9-J34,IF(J8&lt;&gt;0,J8-J34,IF(J7&lt;&gt;0,J7-J34,IF(J6&lt;&gt;0,J6-J34,IF(J5&lt;&gt;0,J5-J34,IF(J4&lt;&gt;0,J4-J34,IF(J3&lt;&gt;0,J3-J34,IF(J2&lt;&gt;0,J2-J34)))))))))))))))))))))))))))))))</f>
        <v>0</v>
      </c>
    </row>
    <row r="36" spans="9:15" x14ac:dyDescent="0.3">
      <c r="I36" s="1" t="s">
        <v>8</v>
      </c>
      <c r="K36">
        <f>ABS(IF(K31&lt;&gt;0,K31+K34,IF(K30&lt;&gt;0,K30+K34,IF(K29&lt;&gt;0,K29+K34,IF(K28&lt;&gt;0,K28+K34,IF(K27&lt;&gt;0,K27+K34,IF(K26&lt;&gt;0,K26+K34,IF(K25&lt;&gt;0,K25+K34,IF(K24&lt;&gt;0,K24+K34,IF(K23&lt;&gt;0,K23+K34,IF(K22&lt;&gt;0,K22+K34,IF(K21&lt;&gt;0,K21+K34,IF(K20&lt;&gt;0,K20+K34,IF(K19&lt;&gt;0,K19+K34,IF(K18&lt;&gt;0,K18+K34,IF(K17&lt;&gt;0,K17+K34,IF(K16&lt;&gt;0,K16+K34,IF(K15&lt;&gt;0,K15+K34,IF(K14&lt;&gt;0,K14+K34,IF(K13&lt;&gt;0,K13+K34,IF(K12&lt;&gt;0,K12+K34,IF(K11&lt;&gt;0,K11+K34,IF(K10&lt;&gt;0,K10+K34,IF(K9&lt;&gt;0,K9+K34,IF(K8&lt;&gt;0,K8+K34,IF(K7&lt;&gt;0,K7+K34,IF(K6&lt;&gt;0,K6+K34,IF(K5&lt;&gt;0,K5+K34,IF(K4&lt;&gt;0,K4+K34,IF(K3&lt;&gt;0,K3+K34,IF(K2&lt;&gt;0,K2+K34)))))))))))))))))))))))))))))))</f>
        <v>0</v>
      </c>
      <c r="L36">
        <v>1</v>
      </c>
      <c r="M36">
        <v>0</v>
      </c>
      <c r="N36">
        <v>0</v>
      </c>
      <c r="O36">
        <v>0</v>
      </c>
    </row>
  </sheetData>
  <autoFilter ref="A1:G1" xr:uid="{00000000-0009-0000-0000-000001000000}">
    <sortState xmlns:xlrd2="http://schemas.microsoft.com/office/spreadsheetml/2017/richdata2" ref="A2:G31">
      <sortCondition ref="B1"/>
    </sortState>
  </autoFilter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Hole to hole distance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CNC</dc:creator>
  <cp:lastModifiedBy>Lenovo IdeaPad 83E60026MJ Slim 3 15IRU9 PF5GC1HC</cp:lastModifiedBy>
  <dcterms:created xsi:type="dcterms:W3CDTF">2025-01-13T07:16:23Z</dcterms:created>
  <dcterms:modified xsi:type="dcterms:W3CDTF">2025-11-25T08:02:18Z</dcterms:modified>
</cp:coreProperties>
</file>