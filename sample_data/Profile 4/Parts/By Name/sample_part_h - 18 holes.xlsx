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10.8.0.38\Production Dept\1.0 PRODUCTION PERSONNEL\KV\Pultrusion Machine Data List\Profile 4\Parts\By Name\"/>
    </mc:Choice>
  </mc:AlternateContent>
  <xr:revisionPtr revIDLastSave="0" documentId="13_ncr:1_{756ED95B-DA6D-4FB6-B2D5-8A459F4D84F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le to hole distance" sheetId="2" r:id="rId1"/>
    <sheet name="Sheet1" sheetId="1" r:id="rId2"/>
  </sheets>
  <externalReferences>
    <externalReference r:id="rId3"/>
  </externalReferences>
  <definedNames>
    <definedName name="_xlnm._FilterDatabase" localSheetId="1" hidden="1">Sheet1!$A$1:$H$31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B4" i="1" s="1"/>
  <c r="C4" i="2"/>
  <c r="C3" i="2"/>
  <c r="B3" i="1" l="1"/>
  <c r="B5" i="1"/>
  <c r="B2" i="1"/>
  <c r="B8" i="1"/>
  <c r="B6" i="1"/>
  <c r="B7" i="1"/>
  <c r="B10" i="1"/>
  <c r="B9" i="1"/>
  <c r="B14" i="1"/>
  <c r="B11" i="1"/>
  <c r="B17" i="1"/>
  <c r="B16" i="1"/>
  <c r="B15" i="1"/>
  <c r="B13" i="1"/>
  <c r="B12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3" i="1" l="1"/>
  <c r="L34" i="1" l="1"/>
  <c r="L36" i="1" s="1"/>
</calcChain>
</file>

<file path=xl/sharedStrings.xml><?xml version="1.0" encoding="utf-8"?>
<sst xmlns="http://schemas.openxmlformats.org/spreadsheetml/2006/main" count="24" uniqueCount="16">
  <si>
    <t>No</t>
  </si>
  <si>
    <t>Hole 1</t>
  </si>
  <si>
    <t>Hole 2</t>
  </si>
  <si>
    <t>Hole 3</t>
  </si>
  <si>
    <t>Hole 4</t>
  </si>
  <si>
    <t>Hole 5</t>
  </si>
  <si>
    <t>Hole length (mm)</t>
  </si>
  <si>
    <t>Actual length (mm)</t>
  </si>
  <si>
    <t>LENGTH FOR LAST HOLE</t>
  </si>
  <si>
    <t>COPY THIS VALUE AND PASTE TO LAST ONE</t>
  </si>
  <si>
    <t>Distance (mm)</t>
  </si>
  <si>
    <t>From hole 2 to hole 1</t>
  </si>
  <si>
    <t>From hole 3 to hole 1</t>
  </si>
  <si>
    <t>From hole 4 to hole 1</t>
  </si>
  <si>
    <t>*Possible to change once in a while</t>
  </si>
  <si>
    <t>From hole 5 to hole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</si>
</sst>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8.0.38\Production%20Dept\1.0%20PRODUCTION%20PERSONNEL\KV\Pultrusion%20Machine%20Data%20List\Profile%204\Standard%20Parts%20Data%20&amp;%20List\Machine%204%20Master%20List.xlsx" TargetMode="External"/><Relationship Id="rId1" Type="http://schemas.openxmlformats.org/officeDocument/2006/relationships/externalLinkPath" Target="/1.0%20PRODUCTION%20PERSONNEL/KV/Pultrusion%20Machine%20Data%20List/Profile%204/Standard%20Parts%20Data%20&amp;%20List/Machine%204%20Mast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le to hole distance"/>
      <sheetName val="Sheet1"/>
    </sheetNames>
    <sheetDataSet>
      <sheetData sheetId="0">
        <row r="3">
          <cell r="C3">
            <v>298</v>
          </cell>
        </row>
        <row r="4">
          <cell r="C4">
            <v>599</v>
          </cell>
        </row>
        <row r="5">
          <cell r="C5">
            <v>900</v>
          </cell>
        </row>
        <row r="6">
          <cell r="C6">
            <v>1201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J1:Q31" totalsRowShown="0">
  <autoFilter ref="J1:Q31" xr:uid="{00000000-0009-0000-0100-000001000000}"/>
  <sortState xmlns:xlrd2="http://schemas.microsoft.com/office/spreadsheetml/2017/richdata2" ref="J2:Q31">
    <sortCondition ref="J1:J31"/>
  </sortState>
  <tableColumns count="8">
    <tableColumn id="1" xr3:uid="{00000000-0010-0000-0000-000001000000}" name="No"/>
    <tableColumn id="2" xr3:uid="{00000000-0010-0000-0000-000002000000}" name="Actual length (mm)"/>
    <tableColumn id="3" xr3:uid="{00000000-0010-0000-0000-000003000000}" name="Hole length (mm)" dataDxfId="0">
      <calculatedColumnFormula>IF(M2=1,K2,IF(N2=1,K2-'Hole to hole distance'!$C$3,IF(O2=1,K2-'Hole to hole distance'!$C$4,IF(P2=1,K2-'Hole to hole distance'!$C$5,IF(Q2=1,K2-'Hole to hole distance'!$C$6,0)))))</calculatedColumnFormula>
    </tableColumn>
    <tableColumn id="4" xr3:uid="{00000000-0010-0000-0000-000004000000}" name="Hole 1"/>
    <tableColumn id="5" xr3:uid="{00000000-0010-0000-0000-000005000000}" name="Hole 2"/>
    <tableColumn id="6" xr3:uid="{00000000-0010-0000-0000-000006000000}" name="Hole 3"/>
    <tableColumn id="7" xr3:uid="{00000000-0010-0000-0000-000007000000}" name="Hole 4"/>
    <tableColumn id="8" xr3:uid="{00000000-0010-0000-0000-000008000000}" name="Hole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workbookViewId="0">
      <selection activeCell="C7" sqref="C7"/>
    </sheetView>
  </sheetViews>
  <sheetFormatPr defaultRowHeight="14.4" x14ac:dyDescent="0.3"/>
  <cols>
    <col min="2" max="2" width="32.88671875" bestFit="1" customWidth="1"/>
    <col min="3" max="3" width="14" bestFit="1" customWidth="1"/>
  </cols>
  <sheetData>
    <row r="2" spans="2:3" x14ac:dyDescent="0.3">
      <c r="C2" t="s">
        <v>10</v>
      </c>
    </row>
    <row r="3" spans="2:3" x14ac:dyDescent="0.3">
      <c r="B3" s="2" t="s">
        <v>11</v>
      </c>
      <c r="C3" s="3">
        <f>'[1]Hole to hole distance'!$C$3</f>
        <v>298</v>
      </c>
    </row>
    <row r="4" spans="2:3" x14ac:dyDescent="0.3">
      <c r="B4" s="2" t="s">
        <v>12</v>
      </c>
      <c r="C4" s="3">
        <f>'[1]Hole to hole distance'!$C$4</f>
        <v>599</v>
      </c>
    </row>
    <row r="5" spans="2:3" x14ac:dyDescent="0.3">
      <c r="B5" s="2" t="s">
        <v>13</v>
      </c>
      <c r="C5" s="3">
        <f>'[1]Hole to hole distance'!$C$5</f>
        <v>900</v>
      </c>
    </row>
    <row r="6" spans="2:3" x14ac:dyDescent="0.3">
      <c r="B6" s="2" t="s">
        <v>15</v>
      </c>
      <c r="C6" s="3">
        <f>'[1]Hole to hole distance'!$C$6</f>
        <v>1201</v>
      </c>
    </row>
    <row r="8" spans="2:3" x14ac:dyDescent="0.3"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"/>
  <sheetViews>
    <sheetView tabSelected="1" workbookViewId="0">
      <selection activeCell="F16" sqref="F16"/>
    </sheetView>
  </sheetViews>
  <sheetFormatPr defaultRowHeight="14.4" x14ac:dyDescent="0.3"/>
  <cols>
    <col min="2" max="2" width="18.33203125" bestFit="1" customWidth="1"/>
    <col min="3" max="3" width="16.6640625" bestFit="1" customWidth="1"/>
    <col min="11" max="11" width="20.109375" customWidth="1"/>
    <col min="12" max="12" width="18.6640625" customWidth="1"/>
  </cols>
  <sheetData>
    <row r="1" spans="1:17" x14ac:dyDescent="0.3">
      <c r="A1" t="s">
        <v>0</v>
      </c>
      <c r="B1" t="s">
        <v>7</v>
      </c>
      <c r="C1" t="s">
        <v>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J1" t="s">
        <v>0</v>
      </c>
      <c r="K1" t="s">
        <v>7</v>
      </c>
      <c r="L1" t="s">
        <v>6</v>
      </c>
      <c r="M1" t="s">
        <v>1</v>
      </c>
      <c r="N1" t="s">
        <v>2</v>
      </c>
      <c r="O1" t="s">
        <v>3</v>
      </c>
      <c r="P1" t="s">
        <v>4</v>
      </c>
      <c r="Q1" t="s">
        <v>5</v>
      </c>
    </row>
    <row r="2" spans="1:17" x14ac:dyDescent="0.3">
      <c r="A2">
        <v>4</v>
      </c>
      <c r="B2">
        <f>IF(D2=1,C2+4,IF(E2=1,C2+'Hole to hole distance'!$C$3,IF(F2=1,C2+'Hole to hole distance'!$C$4,IF(G2=1,C2+'Hole to hole distance'!$C$5,IF(H2=1,C2+'Hole to hole distance'!$C$6,"ERROR")))))</f>
        <v>416</v>
      </c>
      <c r="C2">
        <v>118</v>
      </c>
      <c r="E2">
        <v>1</v>
      </c>
      <c r="J2">
        <v>1</v>
      </c>
      <c r="L2">
        <f>IF(M2=1,K2,IF(N2=1,K2-'Hole to hole distance'!$C$3,IF(O2=1,K2-'Hole to hole distance'!$C$4,IF(P2=1,K2-'Hole to hole distance'!$C$5,IF(Q2=1,K2-'Hole to hole distance'!$C$6,0)))))</f>
        <v>0</v>
      </c>
    </row>
    <row r="3" spans="1:17" x14ac:dyDescent="0.3">
      <c r="A3">
        <v>2</v>
      </c>
      <c r="B3">
        <f>IF(D3=1,C3+4,IF(E3=1,C3+'Hole to hole distance'!$C$3,IF(F3=1,C3+'Hole to hole distance'!$C$4,IF(G3=1,C3+'Hole to hole distance'!$C$5,IF(H3=1,C3+'Hole to hole distance'!$C$6,"ERROR")))))</f>
        <v>968</v>
      </c>
      <c r="C3">
        <v>68</v>
      </c>
      <c r="G3">
        <v>1</v>
      </c>
      <c r="J3">
        <v>2</v>
      </c>
      <c r="L3">
        <f>IF(M3=1,K3,IF(N3=1,K3-'Hole to hole distance'!$C$3,IF(O3=1,K3-'Hole to hole distance'!$C$4,IF(P3=1,K3-'Hole to hole distance'!$C$5,IF(Q3=1,K3-'Hole to hole distance'!$C$6,0)))))</f>
        <v>0</v>
      </c>
    </row>
    <row r="4" spans="1:17" x14ac:dyDescent="0.3">
      <c r="A4">
        <v>1</v>
      </c>
      <c r="B4">
        <f>IF(D4=1,C4+4,IF(E4=1,C4+'Hole to hole distance'!$C$3,IF(F4=1,C4+'Hole to hole distance'!$C$4,IF(G4=1,C4+'Hole to hole distance'!$C$5,IF(H4=1,C4+'Hole to hole distance'!$C$6,"ERROR")))))</f>
        <v>1068</v>
      </c>
      <c r="C4">
        <v>168</v>
      </c>
      <c r="G4">
        <v>1</v>
      </c>
      <c r="J4">
        <v>3</v>
      </c>
      <c r="L4">
        <f>IF(M4=1,K4,IF(N4=1,K4-'Hole to hole distance'!$C$3,IF(O4=1,K4-'Hole to hole distance'!$C$4,IF(P4=1,K4-'Hole to hole distance'!$C$5,IF(Q4=1,K4-'Hole to hole distance'!$C$6,0)))))</f>
        <v>0</v>
      </c>
    </row>
    <row r="5" spans="1:17" x14ac:dyDescent="0.3">
      <c r="A5">
        <v>3</v>
      </c>
      <c r="B5">
        <f>IF(D5=1,C5+4,IF(E5=1,C5+'Hole to hole distance'!$C$3,IF(F5=1,C5+'Hole to hole distance'!$C$4,IF(G5=1,C5+'Hole to hole distance'!$C$5,IF(H5=1,C5+'Hole to hole distance'!$C$6,"ERROR")))))</f>
        <v>1212</v>
      </c>
      <c r="C5">
        <v>11</v>
      </c>
      <c r="H5">
        <v>1</v>
      </c>
      <c r="J5">
        <v>4</v>
      </c>
      <c r="L5">
        <f>IF(M5=1,K5,IF(N5=1,K5-'Hole to hole distance'!$C$3,IF(O5=1,K5-'Hole to hole distance'!$C$4,IF(P5=1,K5-'Hole to hole distance'!$C$5,IF(Q5=1,K5-'Hole to hole distance'!$C$6,0)))))</f>
        <v>0</v>
      </c>
    </row>
    <row r="6" spans="1:17" x14ac:dyDescent="0.3">
      <c r="A6">
        <v>6</v>
      </c>
      <c r="B6">
        <f>IF(D6=1,C6+4,IF(E6=1,C6+'Hole to hole distance'!$C$3,IF(F6=1,C6+'Hole to hole distance'!$C$4,IF(G6=1,C6+'Hole to hole distance'!$C$5,IF(H6=1,C6+'Hole to hole distance'!$C$6,"ERROR")))))</f>
        <v>1418</v>
      </c>
      <c r="C6">
        <v>518</v>
      </c>
      <c r="G6">
        <v>1</v>
      </c>
      <c r="J6">
        <v>5</v>
      </c>
      <c r="L6">
        <f>IF(M6=1,K6,IF(N6=1,K6-'Hole to hole distance'!$C$3,IF(O6=1,K6-'Hole to hole distance'!$C$4,IF(P6=1,K6-'Hole to hole distance'!$C$5,IF(Q6=1,K6-'Hole to hole distance'!$C$6,0)))))</f>
        <v>0</v>
      </c>
    </row>
    <row r="7" spans="1:17" x14ac:dyDescent="0.3">
      <c r="A7">
        <v>7</v>
      </c>
      <c r="B7">
        <f>IF(D7=1,C7+4,IF(E7=1,C7+'Hole to hole distance'!$C$3,IF(F7=1,C7+'Hole to hole distance'!$C$4,IF(G7=1,C7+'Hole to hole distance'!$C$5,IF(H7=1,C7+'Hole to hole distance'!$C$6,"ERROR")))))</f>
        <v>1436</v>
      </c>
      <c r="C7">
        <v>1138</v>
      </c>
      <c r="E7">
        <v>1</v>
      </c>
      <c r="J7">
        <v>6</v>
      </c>
      <c r="L7">
        <f>IF(M7=1,K7,IF(N7=1,K7-'Hole to hole distance'!$C$3,IF(O7=1,K7-'Hole to hole distance'!$C$4,IF(P7=1,K7-'Hole to hole distance'!$C$5,IF(Q7=1,K7-'Hole to hole distance'!$C$6,0)))))</f>
        <v>0</v>
      </c>
    </row>
    <row r="8" spans="1:17" x14ac:dyDescent="0.3">
      <c r="A8">
        <v>5</v>
      </c>
      <c r="B8">
        <f>IF(D8=1,C8+4,IF(E8=1,C8+'Hole to hole distance'!$C$3,IF(F8=1,C8+'Hole to hole distance'!$C$4,IF(G8=1,C8+'Hole to hole distance'!$C$5,IF(H8=1,C8+'Hole to hole distance'!$C$6,"ERROR")))))</f>
        <v>1482.5</v>
      </c>
      <c r="C8">
        <v>281.5</v>
      </c>
      <c r="H8">
        <v>1</v>
      </c>
      <c r="J8">
        <v>7</v>
      </c>
      <c r="L8">
        <f>IF(M8=1,K8,IF(N8=1,K8-'Hole to hole distance'!$C$3,IF(O8=1,K8-'Hole to hole distance'!$C$4,IF(P8=1,K8-'Hole to hole distance'!$C$5,IF(Q8=1,K8-'Hole to hole distance'!$C$6,0)))))</f>
        <v>0</v>
      </c>
    </row>
    <row r="9" spans="1:17" x14ac:dyDescent="0.3">
      <c r="A9">
        <v>9</v>
      </c>
      <c r="B9">
        <f>IF(D9=1,C9+4,IF(E9=1,C9+'Hole to hole distance'!$C$3,IF(F9=1,C9+'Hole to hole distance'!$C$4,IF(G9=1,C9+'Hole to hole distance'!$C$5,IF(H9=1,C9+'Hole to hole distance'!$C$6,"ERROR")))))</f>
        <v>1833</v>
      </c>
      <c r="C9">
        <v>933</v>
      </c>
      <c r="G9">
        <v>1</v>
      </c>
      <c r="J9">
        <v>8</v>
      </c>
      <c r="L9">
        <f>IF(M9=1,K9,IF(N9=1,K9-'Hole to hole distance'!$C$3,IF(O9=1,K9-'Hole to hole distance'!$C$4,IF(P9=1,K9-'Hole to hole distance'!$C$5,IF(Q9=1,K9-'Hole to hole distance'!$C$6,0)))))</f>
        <v>0</v>
      </c>
    </row>
    <row r="10" spans="1:17" x14ac:dyDescent="0.3">
      <c r="A10">
        <v>8</v>
      </c>
      <c r="B10">
        <f>IF(D10=1,C10+4,IF(E10=1,C10+'Hole to hole distance'!$C$3,IF(F10=1,C10+'Hole to hole distance'!$C$4,IF(G10=1,C10+'Hole to hole distance'!$C$5,IF(H10=1,C10+'Hole to hole distance'!$C$6,"ERROR")))))</f>
        <v>2182.5</v>
      </c>
      <c r="C10">
        <v>981.5</v>
      </c>
      <c r="H10">
        <v>1</v>
      </c>
      <c r="J10">
        <v>9</v>
      </c>
      <c r="L10">
        <f>IF(M10=1,K10,IF(N10=1,K10-'Hole to hole distance'!$C$3,IF(O10=1,K10-'Hole to hole distance'!$C$4,IF(P10=1,K10-'Hole to hole distance'!$C$5,IF(Q10=1,K10-'Hole to hole distance'!$C$6,0)))))</f>
        <v>0</v>
      </c>
    </row>
    <row r="11" spans="1:17" x14ac:dyDescent="0.3">
      <c r="A11">
        <v>11</v>
      </c>
      <c r="B11">
        <f>IF(D11=1,C11+4,IF(E11=1,C11+'Hole to hole distance'!$C$3,IF(F11=1,C11+'Hole to hole distance'!$C$4,IF(G11=1,C11+'Hole to hole distance'!$C$5,IF(H11=1,C11+'Hole to hole distance'!$C$6,"ERROR")))))</f>
        <v>2243</v>
      </c>
      <c r="C11">
        <v>1343</v>
      </c>
      <c r="G11">
        <v>1</v>
      </c>
      <c r="J11">
        <v>10</v>
      </c>
      <c r="L11">
        <f>IF(M11=1,K11,IF(N11=1,K11-'Hole to hole distance'!$C$3,IF(O11=1,K11-'Hole to hole distance'!$C$4,IF(P11=1,K11-'Hole to hole distance'!$C$5,IF(Q11=1,K11-'Hole to hole distance'!$C$6,0)))))</f>
        <v>0</v>
      </c>
    </row>
    <row r="12" spans="1:17" x14ac:dyDescent="0.3">
      <c r="A12">
        <v>16</v>
      </c>
      <c r="B12">
        <f>IF(D12=1,C12+4,IF(E12=1,C12+'Hole to hole distance'!$C$3,IF(F12=1,C12+'Hole to hole distance'!$C$4,IF(G12=1,C12+'Hole to hole distance'!$C$5,IF(H12=1,C12+'Hole to hole distance'!$C$6,"ERROR")))))</f>
        <v>2456</v>
      </c>
      <c r="C12">
        <v>2158</v>
      </c>
      <c r="E12">
        <v>1</v>
      </c>
      <c r="J12">
        <v>11</v>
      </c>
      <c r="L12">
        <f>IF(M12=1,K12,IF(N12=1,K12-'Hole to hole distance'!$C$3,IF(O12=1,K12-'Hole to hole distance'!$C$4,IF(P12=1,K12-'Hole to hole distance'!$C$5,IF(Q12=1,K12-'Hole to hole distance'!$C$6,0)))))</f>
        <v>0</v>
      </c>
    </row>
    <row r="13" spans="1:17" x14ac:dyDescent="0.3">
      <c r="A13">
        <v>15</v>
      </c>
      <c r="B13">
        <f>IF(D13=1,C13+4,IF(E13=1,C13+'Hole to hole distance'!$C$3,IF(F13=1,C13+'Hole to hole distance'!$C$4,IF(G13=1,C13+'Hole to hole distance'!$C$5,IF(H13=1,C13+'Hole to hole distance'!$C$6,"ERROR")))))</f>
        <v>2582.5</v>
      </c>
      <c r="C13">
        <v>1381.5</v>
      </c>
      <c r="H13">
        <v>1</v>
      </c>
      <c r="J13">
        <v>12</v>
      </c>
      <c r="L13">
        <f>IF(M13=1,K13,IF(N13=1,K13-'Hole to hole distance'!$C$3,IF(O13=1,K13-'Hole to hole distance'!$C$4,IF(P13=1,K13-'Hole to hole distance'!$C$5,IF(Q13=1,K13-'Hole to hole distance'!$C$6,0)))))</f>
        <v>0</v>
      </c>
    </row>
    <row r="14" spans="1:17" x14ac:dyDescent="0.3">
      <c r="A14">
        <v>10</v>
      </c>
      <c r="B14">
        <f>IF(D14=1,C14+4,IF(E14=1,C14+'Hole to hole distance'!$C$3,IF(F14=1,C14+'Hole to hole distance'!$C$4,IF(G14=1,C14+'Hole to hole distance'!$C$5,IF(H14=1,C14+'Hole to hole distance'!$C$6,"ERROR")))))</f>
        <v>2658</v>
      </c>
      <c r="C14">
        <v>1758</v>
      </c>
      <c r="G14">
        <v>1</v>
      </c>
      <c r="J14">
        <v>13</v>
      </c>
      <c r="L14">
        <f>IF(M14=1,K14,IF(N14=1,K14-'Hole to hole distance'!$C$3,IF(O14=1,K14-'Hole to hole distance'!$C$4,IF(P14=1,K14-'Hole to hole distance'!$C$5,IF(Q14=1,K14-'Hole to hole distance'!$C$6,0)))))</f>
        <v>0</v>
      </c>
    </row>
    <row r="15" spans="1:17" x14ac:dyDescent="0.3">
      <c r="A15">
        <v>14</v>
      </c>
      <c r="B15">
        <f>IF(D15=1,C15+4,IF(E15=1,C15+'Hole to hole distance'!$C$3,IF(F15=1,C15+'Hole to hole distance'!$C$4,IF(G15=1,C15+'Hole to hole distance'!$C$5,IF(H15=1,C15+'Hole to hole distance'!$C$6,"ERROR")))))</f>
        <v>3008</v>
      </c>
      <c r="C15">
        <v>2108</v>
      </c>
      <c r="G15">
        <v>1</v>
      </c>
      <c r="J15">
        <v>14</v>
      </c>
      <c r="L15">
        <f>IF(M15=1,K15,IF(N15=1,K15-'Hole to hole distance'!$C$3,IF(O15=1,K15-'Hole to hole distance'!$C$4,IF(P15=1,K15-'Hole to hole distance'!$C$5,IF(Q15=1,K15-'Hole to hole distance'!$C$6,0)))))</f>
        <v>0</v>
      </c>
    </row>
    <row r="16" spans="1:17" x14ac:dyDescent="0.3">
      <c r="A16">
        <v>13</v>
      </c>
      <c r="B16">
        <f>IF(D16=1,C16+4,IF(E16=1,C16+'Hole to hole distance'!$C$3,IF(F16=1,C16+'Hole to hole distance'!$C$4,IF(G16=1,C16+'Hole to hole distance'!$C$5,IF(H16=1,C16+'Hole to hole distance'!$C$6,"ERROR")))))</f>
        <v>3108</v>
      </c>
      <c r="C16">
        <v>2208</v>
      </c>
      <c r="G16">
        <v>1</v>
      </c>
      <c r="J16">
        <v>15</v>
      </c>
      <c r="L16">
        <f>IF(M16=1,K16,IF(N16=1,K16-'Hole to hole distance'!$C$3,IF(O16=1,K16-'Hole to hole distance'!$C$4,IF(P16=1,K16-'Hole to hole distance'!$C$5,IF(Q16=1,K16-'Hole to hole distance'!$C$6,0)))))</f>
        <v>0</v>
      </c>
    </row>
    <row r="17" spans="1:12" x14ac:dyDescent="0.3">
      <c r="A17">
        <v>12</v>
      </c>
      <c r="B17">
        <f>IF(D17=1,C17+4,IF(E17=1,C17+'Hole to hole distance'!$C$3,IF(F17=1,C17+'Hole to hole distance'!$C$4,IF(G17=1,C17+'Hole to hole distance'!$C$5,IF(H17=1,C17+'Hole to hole distance'!$C$6,"ERROR")))))</f>
        <v>3282.5</v>
      </c>
      <c r="C17">
        <v>2081.5</v>
      </c>
      <c r="H17">
        <v>1</v>
      </c>
      <c r="J17">
        <v>16</v>
      </c>
      <c r="L17">
        <f>IF(M17=1,K17,IF(N17=1,K17-'Hole to hole distance'!$C$3,IF(O17=1,K17-'Hole to hole distance'!$C$4,IF(P17=1,K17-'Hole to hole distance'!$C$5,IF(Q17=1,K17-'Hole to hole distance'!$C$6,0)))))</f>
        <v>0</v>
      </c>
    </row>
    <row r="18" spans="1:12" x14ac:dyDescent="0.3">
      <c r="A18">
        <v>17</v>
      </c>
      <c r="B18">
        <f>IF(D18=1,C18+4,IF(E18=1,C18+'Hole to hole distance'!$C$3,IF(F18=1,C18+'Hole to hole distance'!$C$4,IF(G18=1,C18+'Hole to hole distance'!$C$5,IF(H18=1,C18+'Hole to hole distance'!$C$6,"ERROR")))))</f>
        <v>3466</v>
      </c>
      <c r="C18">
        <v>2265</v>
      </c>
      <c r="H18">
        <v>1</v>
      </c>
      <c r="J18">
        <v>17</v>
      </c>
      <c r="L18">
        <f>IF(M18=1,K18,IF(N18=1,K18-'Hole to hole distance'!$C$3,IF(O18=1,K18-'Hole to hole distance'!$C$4,IF(P18=1,K18-'Hole to hole distance'!$C$5,IF(Q18=1,K18-'Hole to hole distance'!$C$6,0)))))</f>
        <v>0</v>
      </c>
    </row>
    <row r="19" spans="1:12" x14ac:dyDescent="0.3">
      <c r="A19">
        <v>18</v>
      </c>
      <c r="B19">
        <f>IF(D19=1,C19+4,IF(E19=1,C19+'Hole to hole distance'!$C$3,IF(F19=1,C19+'Hole to hole distance'!$C$4,IF(G19=1,C19+'Hole to hole distance'!$C$5,IF(H19=1,C19+'Hole to hole distance'!$C$6,"ERROR")))))</f>
        <v>2284</v>
      </c>
      <c r="C19">
        <v>2280</v>
      </c>
      <c r="D19">
        <v>1</v>
      </c>
      <c r="J19">
        <v>18</v>
      </c>
      <c r="L19">
        <f>IF(M19=1,K19,IF(N19=1,K19-'Hole to hole distance'!$C$3,IF(O19=1,K19-'Hole to hole distance'!$C$4,IF(P19=1,K19-'Hole to hole distance'!$C$5,IF(Q19=1,K19-'Hole to hole distance'!$C$6,0)))))</f>
        <v>0</v>
      </c>
    </row>
    <row r="20" spans="1:12" x14ac:dyDescent="0.3">
      <c r="A20">
        <v>19</v>
      </c>
      <c r="B20" t="str">
        <f>IF(D20=1,C20+4,IF(E20=1,C20+'Hole to hole distance'!$C$3,IF(F20=1,C20+'Hole to hole distance'!$C$4,IF(G20=1,C20+'Hole to hole distance'!$C$5,IF(H20=1,C20+'Hole to hole distance'!$C$6,"ERROR")))))</f>
        <v>ERROR</v>
      </c>
      <c r="J20">
        <v>19</v>
      </c>
      <c r="L20">
        <f>IF(M20=1,K20,IF(N20=1,K20-'Hole to hole distance'!$C$3,IF(O20=1,K20-'Hole to hole distance'!$C$4,IF(P20=1,K20-'Hole to hole distance'!$C$5,IF(Q20=1,K20-'Hole to hole distance'!$C$6,0)))))</f>
        <v>0</v>
      </c>
    </row>
    <row r="21" spans="1:12" x14ac:dyDescent="0.3">
      <c r="A21">
        <v>20</v>
      </c>
      <c r="B21" t="str">
        <f>IF(D21=1,C21+4,IF(E21=1,C21+'Hole to hole distance'!$C$3,IF(F21=1,C21+'Hole to hole distance'!$C$4,IF(G21=1,C21+'Hole to hole distance'!$C$5,IF(H21=1,C21+'Hole to hole distance'!$C$6,"ERROR")))))</f>
        <v>ERROR</v>
      </c>
      <c r="J21">
        <v>20</v>
      </c>
      <c r="L21">
        <f>IF(M21=1,K21,IF(N21=1,K21-'Hole to hole distance'!$C$3,IF(O21=1,K21-'Hole to hole distance'!$C$4,IF(P21=1,K21-'Hole to hole distance'!$C$5,IF(Q21=1,K21-'Hole to hole distance'!$C$6,0)))))</f>
        <v>0</v>
      </c>
    </row>
    <row r="22" spans="1:12" x14ac:dyDescent="0.3">
      <c r="A22">
        <v>21</v>
      </c>
      <c r="B22" t="str">
        <f>IF(D22=1,C22+4,IF(E22=1,C22+'Hole to hole distance'!$C$3,IF(F22=1,C22+'Hole to hole distance'!$C$4,IF(G22=1,C22+'Hole to hole distance'!$C$5,IF(H22=1,C22+'Hole to hole distance'!$C$6,"ERROR")))))</f>
        <v>ERROR</v>
      </c>
      <c r="J22">
        <v>21</v>
      </c>
      <c r="L22">
        <f>IF(M22=1,K22,IF(N22=1,K22-'Hole to hole distance'!$C$3,IF(O22=1,K22-'Hole to hole distance'!$C$4,IF(P22=1,K22-'Hole to hole distance'!$C$5,IF(Q22=1,K22-'Hole to hole distance'!$C$6,0)))))</f>
        <v>0</v>
      </c>
    </row>
    <row r="23" spans="1:12" x14ac:dyDescent="0.3">
      <c r="A23">
        <v>22</v>
      </c>
      <c r="B23" t="str">
        <f>IF(D23=1,C23+4,IF(E23=1,C23+'Hole to hole distance'!$C$3,IF(F23=1,C23+'Hole to hole distance'!$C$4,IF(G23=1,C23+'Hole to hole distance'!$C$5,IF(H23=1,C23+'Hole to hole distance'!$C$6,"ERROR")))))</f>
        <v>ERROR</v>
      </c>
      <c r="J23">
        <v>22</v>
      </c>
      <c r="L23">
        <f>IF(M23=1,K23,IF(N23=1,K23-'Hole to hole distance'!$C$3,IF(O23=1,K23-'Hole to hole distance'!$C$4,IF(P23=1,K23-'Hole to hole distance'!$C$5,IF(Q23=1,K23-'Hole to hole distance'!$C$6,0)))))</f>
        <v>0</v>
      </c>
    </row>
    <row r="24" spans="1:12" x14ac:dyDescent="0.3">
      <c r="A24">
        <v>23</v>
      </c>
      <c r="B24" t="str">
        <f>IF(D24=1,C24+4,IF(E24=1,C24+'Hole to hole distance'!$C$3,IF(F24=1,C24+'Hole to hole distance'!$C$4,IF(G24=1,C24+'Hole to hole distance'!$C$5,IF(H24=1,C24+'Hole to hole distance'!$C$6,"ERROR")))))</f>
        <v>ERROR</v>
      </c>
      <c r="J24">
        <v>23</v>
      </c>
      <c r="L24">
        <f>IF(M24=1,K24,IF(N24=1,K24-'Hole to hole distance'!$C$3,IF(O24=1,K24-'Hole to hole distance'!$C$4,IF(P24=1,K24-'Hole to hole distance'!$C$5,IF(Q24=1,K24-'Hole to hole distance'!$C$6,0)))))</f>
        <v>0</v>
      </c>
    </row>
    <row r="25" spans="1:12" x14ac:dyDescent="0.3">
      <c r="A25">
        <v>24</v>
      </c>
      <c r="B25" t="str">
        <f>IF(D25=1,C25+4,IF(E25=1,C25+'Hole to hole distance'!$C$3,IF(F25=1,C25+'Hole to hole distance'!$C$4,IF(G25=1,C25+'Hole to hole distance'!$C$5,IF(H25=1,C25+'Hole to hole distance'!$C$6,"ERROR")))))</f>
        <v>ERROR</v>
      </c>
      <c r="J25">
        <v>24</v>
      </c>
      <c r="L25">
        <f>IF(M25=1,K25,IF(N25=1,K25-'Hole to hole distance'!$C$3,IF(O25=1,K25-'Hole to hole distance'!$C$4,IF(P25=1,K25-'Hole to hole distance'!$C$5,IF(Q25=1,K25-'Hole to hole distance'!$C$6,0)))))</f>
        <v>0</v>
      </c>
    </row>
    <row r="26" spans="1:12" x14ac:dyDescent="0.3">
      <c r="A26">
        <v>25</v>
      </c>
      <c r="B26" t="str">
        <f>IF(D26=1,C26+4,IF(E26=1,C26+'Hole to hole distance'!$C$3,IF(F26=1,C26+'Hole to hole distance'!$C$4,IF(G26=1,C26+'Hole to hole distance'!$C$5,IF(H26=1,C26+'Hole to hole distance'!$C$6,"ERROR")))))</f>
        <v>ERROR</v>
      </c>
      <c r="J26">
        <v>25</v>
      </c>
      <c r="L26">
        <f>IF(M26=1,K26,IF(N26=1,K26-'Hole to hole distance'!$C$3,IF(O26=1,K26-'Hole to hole distance'!$C$4,IF(P26=1,K26-'Hole to hole distance'!$C$5,IF(Q26=1,K26-'Hole to hole distance'!$C$6,0)))))</f>
        <v>0</v>
      </c>
    </row>
    <row r="27" spans="1:12" x14ac:dyDescent="0.3">
      <c r="A27">
        <v>26</v>
      </c>
      <c r="B27" t="str">
        <f>IF(D27=1,C27+4,IF(E27=1,C27+'Hole to hole distance'!$C$3,IF(F27=1,C27+'Hole to hole distance'!$C$4,IF(G27=1,C27+'Hole to hole distance'!$C$5,IF(H27=1,C27+'Hole to hole distance'!$C$6,"ERROR")))))</f>
        <v>ERROR</v>
      </c>
      <c r="J27">
        <v>26</v>
      </c>
      <c r="L27">
        <f>IF(M27=1,K27,IF(N27=1,K27-'Hole to hole distance'!$C$3,IF(O27=1,K27-'Hole to hole distance'!$C$4,IF(P27=1,K27-'Hole to hole distance'!$C$5,IF(Q27=1,K27-'Hole to hole distance'!$C$6,0)))))</f>
        <v>0</v>
      </c>
    </row>
    <row r="28" spans="1:12" x14ac:dyDescent="0.3">
      <c r="A28">
        <v>27</v>
      </c>
      <c r="B28" t="str">
        <f>IF(D28=1,C28+4,IF(E28=1,C28+'Hole to hole distance'!$C$3,IF(F28=1,C28+'Hole to hole distance'!$C$4,IF(G28=1,C28+'Hole to hole distance'!$C$5,IF(H28=1,C28+'Hole to hole distance'!$C$6,"ERROR")))))</f>
        <v>ERROR</v>
      </c>
      <c r="J28">
        <v>27</v>
      </c>
      <c r="L28">
        <f>IF(M28=1,K28,IF(N28=1,K28-'Hole to hole distance'!$C$3,IF(O28=1,K28-'Hole to hole distance'!$C$4,IF(P28=1,K28-'Hole to hole distance'!$C$5,IF(Q28=1,K28-'Hole to hole distance'!$C$6,0)))))</f>
        <v>0</v>
      </c>
    </row>
    <row r="29" spans="1:12" x14ac:dyDescent="0.3">
      <c r="A29">
        <v>28</v>
      </c>
      <c r="B29" t="str">
        <f>IF(D29=1,C29+4,IF(E29=1,C29+'Hole to hole distance'!$C$3,IF(F29=1,C29+'Hole to hole distance'!$C$4,IF(G29=1,C29+'Hole to hole distance'!$C$5,IF(H29=1,C29+'Hole to hole distance'!$C$6,"ERROR")))))</f>
        <v>ERROR</v>
      </c>
      <c r="J29">
        <v>28</v>
      </c>
      <c r="L29">
        <f>IF(M29=1,K29,IF(N29=1,K29-'Hole to hole distance'!$C$3,IF(O29=1,K29-'Hole to hole distance'!$C$4,IF(P29=1,K29-'Hole to hole distance'!$C$5,IF(Q29=1,K29-'Hole to hole distance'!$C$6,0)))))</f>
        <v>0</v>
      </c>
    </row>
    <row r="30" spans="1:12" x14ac:dyDescent="0.3">
      <c r="A30">
        <v>29</v>
      </c>
      <c r="B30" t="str">
        <f>IF(D30=1,C30+4,IF(E30=1,C30+'Hole to hole distance'!$C$3,IF(F30=1,C30+'Hole to hole distance'!$C$4,IF(G30=1,C30+'Hole to hole distance'!$C$5,IF(H30=1,C30+'Hole to hole distance'!$C$6,"ERROR")))))</f>
        <v>ERROR</v>
      </c>
      <c r="J30">
        <v>29</v>
      </c>
      <c r="L30">
        <f>IF(M30=1,K30,IF(N30=1,K30-'Hole to hole distance'!$C$3,IF(O30=1,K30-'Hole to hole distance'!$C$4,IF(P30=1,K30-'Hole to hole distance'!$C$5,IF(Q30=1,K30-'Hole to hole distance'!$C$6,0)))))</f>
        <v>0</v>
      </c>
    </row>
    <row r="31" spans="1:12" x14ac:dyDescent="0.3">
      <c r="A31">
        <v>30</v>
      </c>
      <c r="B31" t="str">
        <f>IF(D31=1,C31+4,IF(E31=1,C31+'Hole to hole distance'!$C$3,IF(F31=1,C31+'Hole to hole distance'!$C$4,IF(G31=1,C31+'Hole to hole distance'!$C$5,IF(H31=1,C31+'Hole to hole distance'!$C$6,"ERROR")))))</f>
        <v>ERROR</v>
      </c>
      <c r="J31">
        <v>30</v>
      </c>
      <c r="L31">
        <f>IF(M31=1,K31,IF(N31=1,K31-'Hole to hole distance'!$C$3,IF(O31=1,K31-'Hole to hole distance'!$C$4,IF(P31=1,K31-'Hole to hole distance'!$C$5,IF(Q31=1,K31-'Hole to hole distance'!$C$6,0)))))</f>
        <v>0</v>
      </c>
    </row>
    <row r="33" spans="10:17" x14ac:dyDescent="0.3">
      <c r="L33">
        <f>ABS(IF($K$31&lt;&gt;0,$K$31-$K$34,IF($K$30&lt;&gt;0,$K$30-$K$34,IF($K$29&lt;&gt;0,$K$29-$K$34,IF($K$28&lt;&gt;0,$K$28-$K$34,IF($K$27&lt;&gt;0,$K$27-$K$34,IF($K$26&lt;&gt;0,$K$26-$K$34,IF($K$25&lt;&gt;0,$K$25-$K$34,IF($K$24&lt;&gt;0,$K$24-$K$34,IF($K$23&lt;&gt;0,$K$23-$K$34,IF($K$22&lt;&gt;0,$K$22-$K$34,IF($K$21&lt;&gt;0,$K$21-$K$34,IF($K$20&lt;&gt;0,$K$20-$K$34,IF($K$19&lt;&gt;0,$K$19-$K$34,IF($K$18&lt;&gt;0,$K$18-$K$34,IF($K$17&lt;&gt;0,$K$17-$K$34,IF($K$16&lt;&gt;0,$K$16-$K$34,IF($K$15&lt;&gt;0,$K$15-$K$34,IF($K$14&lt;&gt;0,$K$14-$K$34,IF($K$13&lt;&gt;0,$K$13-$K$34,IF($K$12&lt;&gt;0,$K$12-$K$34,IF($K$11&lt;&gt;0,$K$11-$K$34,IF($K$10&lt;&gt;0,$K$10-$K$34,IF($K$9&lt;&gt;0,$K$9-$K$34,IF($K$8&lt;&gt;0,$K$8-$K$34,IF($K$7&lt;&gt;0,$K$7-$K$34,IF($K$6&lt;&gt;0,$K$6-$K$34,IF($K$5&lt;&gt;0,$K$5-$K$34,IF($K$4&lt;&gt;0,$K$4-$K$34,IF($K$3&lt;&gt;0,$K$3-$K$34,IF($K$2&lt;&gt;0,$K$2-$K$34)))))))))))))))))))))))))))))))</f>
        <v>0</v>
      </c>
    </row>
    <row r="34" spans="10:17" x14ac:dyDescent="0.3">
      <c r="J34" s="1" t="s">
        <v>8</v>
      </c>
      <c r="L34">
        <f>ABS(IF(K31&lt;&gt;0,K31-K34,IF(K30&lt;&gt;0,K30-K34,IF(K29&lt;&gt;0,K29-K34,IF(K28&lt;&gt;0,K28-K34,IF(K27&lt;&gt;0,K27-K34,IF(K26&lt;&gt;0,K26-K34,IF(K25&lt;&gt;0,K25-K34,IF(K24&lt;&gt;0,K24-K34,IF(K23&lt;&gt;0,K23-K34,IF(K22&lt;&gt;0,K22-K34,IF(K21&lt;&gt;0,K21-K34,IF(K20&lt;&gt;0,K20-K34,IF(K19&lt;&gt;0,K19-K34,IF(K18&lt;&gt;0,K18-K34,IF(K17&lt;&gt;0,K17-K34,IF(K16&lt;&gt;0,K16-K34,IF(K15&lt;&gt;0,K15-K34,IF(K14&lt;&gt;0,K14-K34,IF(K13&lt;&gt;0,K13-K34,IF(K12&lt;&gt;0,K12-K34,IF(K11&lt;&gt;0,K11-K34,IF(K10&lt;&gt;0,K10-K34,IF(K9&lt;&gt;0,K9-K34,IF(K8&lt;&gt;0,K8-K34,IF(K7&lt;&gt;0,K7-K34,IF(K6&lt;&gt;0,K6-K34,IF(K5&lt;&gt;0,K5-K34,IF(K4&lt;&gt;0,K4-K34,IF(K3&lt;&gt;0,K3-K34,IF(K2&lt;&gt;0,K2-K34)))))))))))))))))))))))))))))))</f>
        <v>0</v>
      </c>
    </row>
    <row r="36" spans="10:17" x14ac:dyDescent="0.3">
      <c r="J36" s="1" t="s">
        <v>9</v>
      </c>
      <c r="L36">
        <f>ABS(IF(L31&lt;&gt;0,L31+L34,IF(L30&lt;&gt;0,L30+L34,IF(L29&lt;&gt;0,L29+L34,IF(L28&lt;&gt;0,L28+L34,IF(L27&lt;&gt;0,L27+L34,IF(L26&lt;&gt;0,L26+L34,IF(L25&lt;&gt;0,L25+L34,IF(L24&lt;&gt;0,L24+L34,IF(L23&lt;&gt;0,L23+L34,IF(L22&lt;&gt;0,L22+L34,IF(L21&lt;&gt;0,L21+L34,IF(L20&lt;&gt;0,L20+L34,IF(L19&lt;&gt;0,L19+L34,IF(L18&lt;&gt;0,L18+L34,IF(L17&lt;&gt;0,L17+L34,IF(L16&lt;&gt;0,L16+L34,IF(L15&lt;&gt;0,L15+L34,IF(L14&lt;&gt;0,L14+L34,IF(L13&lt;&gt;0,L13+L34,IF(L12&lt;&gt;0,L12+L34,IF(L11&lt;&gt;0,L11+L34,IF(L10&lt;&gt;0,L10+L34,IF(L9&lt;&gt;0,L9+L34,IF(L8&lt;&gt;0,L8+L34,IF(L7&lt;&gt;0,L7+L34,IF(L6&lt;&gt;0,L6+L34,IF(L5&lt;&gt;0,L5+L34,IF(L4&lt;&gt;0,L4+L34,IF(L3&lt;&gt;0,L3+L34,IF(L2&lt;&gt;0,L2+L34)))))))))))))))))))))))))))))))</f>
        <v>0</v>
      </c>
      <c r="M36">
        <v>1</v>
      </c>
      <c r="N36">
        <v>0</v>
      </c>
      <c r="O36">
        <v>0</v>
      </c>
      <c r="P36">
        <v>0</v>
      </c>
      <c r="Q36">
        <v>0</v>
      </c>
    </row>
  </sheetData>
  <autoFilter ref="A1:H31" xr:uid="{00000000-0009-0000-0000-000001000000}">
    <sortState xmlns:xlrd2="http://schemas.microsoft.com/office/spreadsheetml/2017/richdata2" ref="A2:H31">
      <sortCondition ref="B1:B31"/>
    </sortState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Hole to hole distance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CNC</dc:creator>
  <cp:lastModifiedBy>Lenovo IdeaPad 83E60026MJ Slim 3 15IRU9 PF5GC1HC</cp:lastModifiedBy>
  <dcterms:created xsi:type="dcterms:W3CDTF">2025-01-13T07:16:23Z</dcterms:created>
  <dcterms:modified xsi:type="dcterms:W3CDTF">2025-08-27T06:55:00Z</dcterms:modified>
</cp:coreProperties>
</file>